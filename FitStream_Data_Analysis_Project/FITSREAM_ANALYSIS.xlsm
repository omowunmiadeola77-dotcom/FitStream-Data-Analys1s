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eni\OneDrive\Documents\"/>
    </mc:Choice>
  </mc:AlternateContent>
  <xr:revisionPtr revIDLastSave="0" documentId="8_{6493276E-8A7F-47E3-9F0E-976DE4FFB150}" xr6:coauthVersionLast="47" xr6:coauthVersionMax="47" xr10:uidLastSave="{00000000-0000-0000-0000-000000000000}"/>
  <bookViews>
    <workbookView xWindow="-120" yWindow="-120" windowWidth="24240" windowHeight="13740" activeTab="1" xr2:uid="{E684E280-AFEB-4B6C-8235-21D71D0D925B}"/>
  </bookViews>
  <sheets>
    <sheet name="USERS" sheetId="3" r:id="rId1"/>
    <sheet name="SUBSCRIPTION" sheetId="4" r:id="rId2"/>
    <sheet name="USAGE" sheetId="5" r:id="rId3"/>
    <sheet name="SUMMARY" sheetId="1" r:id="rId4"/>
  </sheets>
  <calcPr calcId="191029"/>
  <pivotCaches>
    <pivotCache cacheId="1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H2" i="1" s="1"/>
  <c r="G7" i="5"/>
  <c r="G8" i="5"/>
  <c r="G9" i="5"/>
  <c r="G10" i="5"/>
  <c r="G11" i="5"/>
  <c r="I2" i="1"/>
  <c r="G2" i="5"/>
  <c r="B2" i="1"/>
  <c r="F4" i="1"/>
  <c r="F3" i="1"/>
  <c r="F2" i="1"/>
  <c r="E2" i="1"/>
  <c r="E4" i="1"/>
  <c r="E3" i="1"/>
  <c r="F2" i="5"/>
  <c r="G3" i="4"/>
  <c r="G4" i="4"/>
  <c r="G5" i="4"/>
  <c r="G6" i="4"/>
  <c r="G7" i="4"/>
  <c r="G8" i="4"/>
  <c r="G9" i="4"/>
  <c r="G10" i="4"/>
  <c r="G11" i="4"/>
  <c r="G2" i="4"/>
  <c r="I3" i="1" l="1"/>
  <c r="H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5E5597-F06A-4936-BF00-805BC3F75B83}" keepAlive="1" name="Query - users23id" description="Connection to the 'users23id' query in the workbook." type="5" refreshedVersion="0" background="1">
    <dbPr connection="Provider=Microsoft.Mashup.OleDb.1;Data Source=$Workbook$;Location=users23id;Extended Properties=&quot;&quot;" command="SELECT * FROM [users23id]"/>
  </connection>
</connections>
</file>

<file path=xl/sharedStrings.xml><?xml version="1.0" encoding="utf-8"?>
<sst xmlns="http://schemas.openxmlformats.org/spreadsheetml/2006/main" count="115" uniqueCount="66">
  <si>
    <t>User_ID</t>
  </si>
  <si>
    <t>Signup_Date</t>
  </si>
  <si>
    <t>Country</t>
  </si>
  <si>
    <t>Marketing_Channel</t>
  </si>
  <si>
    <t>US</t>
  </si>
  <si>
    <t>Instagram</t>
  </si>
  <si>
    <t>UK</t>
  </si>
  <si>
    <t>Google</t>
  </si>
  <si>
    <t>Canada</t>
  </si>
  <si>
    <t>Referral</t>
  </si>
  <si>
    <t>Germany</t>
  </si>
  <si>
    <t>Subscription_ID</t>
  </si>
  <si>
    <t>Plan_Type</t>
  </si>
  <si>
    <t>Monthly_Cost</t>
  </si>
  <si>
    <t>Status</t>
  </si>
  <si>
    <t>Cancellation_Date</t>
  </si>
  <si>
    <t>SUB_501</t>
  </si>
  <si>
    <t>Pro</t>
  </si>
  <si>
    <t>Active</t>
  </si>
  <si>
    <t>SUB_502</t>
  </si>
  <si>
    <t>Basic</t>
  </si>
  <si>
    <t>Cancelled</t>
  </si>
  <si>
    <t>SUB_503</t>
  </si>
  <si>
    <t>Elite</t>
  </si>
  <si>
    <t>SUB_504</t>
  </si>
  <si>
    <t>SUB_505</t>
  </si>
  <si>
    <t>SUB_506</t>
  </si>
  <si>
    <t>SUB_507</t>
  </si>
  <si>
    <t>SUB_508</t>
  </si>
  <si>
    <t>SUB_509</t>
  </si>
  <si>
    <t>SUB_510</t>
  </si>
  <si>
    <t>Usage_ID</t>
  </si>
  <si>
    <t>Workouts_Completed</t>
  </si>
  <si>
    <t>Minutes_Logged</t>
  </si>
  <si>
    <t>Month</t>
  </si>
  <si>
    <t>USG_901</t>
  </si>
  <si>
    <t>January</t>
  </si>
  <si>
    <t>USG_902</t>
  </si>
  <si>
    <t>USG_903</t>
  </si>
  <si>
    <t>USG_904</t>
  </si>
  <si>
    <t>February</t>
  </si>
  <si>
    <t>USG_905</t>
  </si>
  <si>
    <t>USG_906</t>
  </si>
  <si>
    <t>USG_907</t>
  </si>
  <si>
    <t>March</t>
  </si>
  <si>
    <t>USG_908</t>
  </si>
  <si>
    <t>USG_909</t>
  </si>
  <si>
    <t>USG_910</t>
  </si>
  <si>
    <t>Marketing Channel</t>
  </si>
  <si>
    <t>TOTAL POTENTIAL MONTHLY REVENUE</t>
  </si>
  <si>
    <t>CHURN RATE</t>
  </si>
  <si>
    <t>AVERAGE WORKOUT</t>
  </si>
  <si>
    <t>Row Labels</t>
  </si>
  <si>
    <t>Grand Total</t>
  </si>
  <si>
    <t>Column Labels</t>
  </si>
  <si>
    <t>Count of User_ID</t>
  </si>
  <si>
    <t>Total Count of User_ID</t>
  </si>
  <si>
    <t>Total Sum of Monthly_Cost</t>
  </si>
  <si>
    <t>Sum of Monthly_Cost</t>
  </si>
  <si>
    <t>CHANNEL</t>
  </si>
  <si>
    <t>ARPU(AVERAGE REVENUE PER USER)</t>
  </si>
  <si>
    <t>AVERAGE MINUTES</t>
  </si>
  <si>
    <t>ACTIVE</t>
  </si>
  <si>
    <t>CANCELLED</t>
  </si>
  <si>
    <t>STATUS(CHANNEL)</t>
  </si>
  <si>
    <t>STATUS(WORKOUT)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</si>
</sst>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9" fontId="0" fillId="0" borderId="0" xfId="2" applyFont="1"/>
    <xf numFmtId="0" fontId="0" fillId="0" borderId="0" xfId="0" pivotButton="1"/>
    <xf numFmtId="44" fontId="0" fillId="0" borderId="0" xfId="1" applyFont="1"/>
    <xf numFmtId="0" fontId="0" fillId="0" borderId="0" xfId="0" applyAlignment="1"/>
  </cellXfs>
  <cellStyles count="3">
    <cellStyle name="Currency" xfId="1" builtinId="4"/>
    <cellStyle name="Normal" xfId="0" builtinId="0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/>
              <a:t>ARPU by Marketing Channel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 ARPU(AVERAGE REVENUE PER USER) 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>
                <c:manualLayout>
                  <c:x val="-3.0555555555555568E-2"/>
                  <c:y val="-4.166666666666666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BC-4DBB-B86B-1A638016F4E3}"/>
                </c:ext>
              </c:extLst>
            </c:dLbl>
            <c:dLbl>
              <c:idx val="1"/>
              <c:layout>
                <c:manualLayout>
                  <c:x val="-2.5462668816039986E-17"/>
                  <c:y val="-5.78703703703703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6142607174103237E-2"/>
                      <c:h val="7.63418635170603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BC-4DBB-B86B-1A638016F4E3}"/>
                </c:ext>
              </c:extLst>
            </c:dLbl>
            <c:dLbl>
              <c:idx val="2"/>
              <c:layout>
                <c:manualLayout>
                  <c:x val="0.23055555555555551"/>
                  <c:y val="6.48148148148148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BC-4DBB-B86B-1A638016F4E3}"/>
                </c:ext>
              </c:extLst>
            </c:dLbl>
            <c:spPr>
              <a:solidFill>
                <a:schemeClr val="dk1">
                  <a:lumMod val="65000"/>
                  <a:lumOff val="35000"/>
                  <a:alpha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SUMMARY!$D$2:$D$12</c:f>
              <c:strCache>
                <c:ptCount val="3"/>
                <c:pt idx="0">
                  <c:v>Instagram</c:v>
                </c:pt>
                <c:pt idx="1">
                  <c:v>Google</c:v>
                </c:pt>
                <c:pt idx="2">
                  <c:v>Referral</c:v>
                </c:pt>
              </c:strCache>
            </c:strRef>
          </c:cat>
          <c:val>
            <c:numRef>
              <c:f>SUMMARY!$E$2:$E$12</c:f>
              <c:numCache>
                <c:formatCode>_("$"* #,##0.00_);_("$"* \(#,##0.00\);_("$"* "-"??_);_(@_)</c:formatCode>
                <c:ptCount val="11"/>
                <c:pt idx="0">
                  <c:v>20</c:v>
                </c:pt>
                <c:pt idx="1">
                  <c:v>13.333333333333334</c:v>
                </c:pt>
                <c:pt idx="2">
                  <c:v>23.333333333333332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C-4DBB-B86B-1A638016F4E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3"/>
        <c:overlap val="21"/>
        <c:axId val="601825048"/>
        <c:axId val="1113719376"/>
      </c:barChart>
      <c:catAx>
        <c:axId val="601825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1140000" spcFirstLastPara="1" vertOverflow="ellipsis" wrap="square" anchor="b" anchorCtr="0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719376"/>
        <c:crosses val="autoZero"/>
        <c:auto val="1"/>
        <c:lblAlgn val="ctr"/>
        <c:lblOffset val="100"/>
        <c:noMultiLvlLbl val="0"/>
      </c:catAx>
      <c:valAx>
        <c:axId val="1113719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60182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 sz="1400" b="0" i="0" u="none" strike="noStrike" baseline="0"/>
              <a:t>Engagement Dashboard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20875000000000005"/>
          <c:w val="0.89019685039370078"/>
          <c:h val="0.6149843248760571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SUMMARY!$I$1</c:f>
              <c:strCache>
                <c:ptCount val="1"/>
                <c:pt idx="0">
                  <c:v>AVERAGE MINUTES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 w="34925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BEB-44B9-B3F2-06883EE5DD2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EB-44B9-B3F2-06883EE5DD29}"/>
              </c:ext>
            </c:extLst>
          </c:dPt>
          <c:cat>
            <c:strRef>
              <c:f>SUMMARY!$G$2:$G$3</c:f>
              <c:strCache>
                <c:ptCount val="2"/>
                <c:pt idx="0">
                  <c:v>ACTIVE</c:v>
                </c:pt>
                <c:pt idx="1">
                  <c:v>CANCELLED</c:v>
                </c:pt>
              </c:strCache>
            </c:strRef>
          </c:cat>
          <c:val>
            <c:numRef>
              <c:f>SUMMARY!$I$2:$I$3</c:f>
              <c:numCache>
                <c:formatCode>General</c:formatCode>
                <c:ptCount val="2"/>
                <c:pt idx="0">
                  <c:v>338.57142857142856</c:v>
                </c:pt>
                <c:pt idx="1">
                  <c:v>21.666666666666668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B-44B9-B3F2-06883EE5D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3"/>
        <c:overlap val="-33"/>
        <c:axId val="1115634904"/>
        <c:axId val="11156341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SUMMARY!$H$1</c15:sqref>
                        </c15:formulaRef>
                      </c:ext>
                    </c:extLst>
                    <c:strCache>
                      <c:ptCount val="1"/>
                      <c:pt idx="0">
                        <c:v> AVERAGE WORKOUT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SUMMARY!$G$2:$G$3</c15:sqref>
                        </c15:formulaRef>
                      </c:ext>
                    </c:extLst>
                    <c:strCache>
                      <c:ptCount val="2"/>
                      <c:pt idx="0">
                        <c:v>ACTIVE</c:v>
                      </c:pt>
                      <c:pt idx="1">
                        <c:v>CANCELLED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11.857142857142858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BEB-44B9-B3F2-06883EE5DD29}"/>
                  </c:ext>
                </c:extLst>
              </c15:ser>
            </c15:filteredBarSeries>
          </c:ext>
        </c:extLst>
      </c:barChart>
      <c:catAx>
        <c:axId val="111563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634184"/>
        <c:crosses val="autoZero"/>
        <c:auto val="1"/>
        <c:lblAlgn val="ctr"/>
        <c:lblOffset val="100"/>
        <c:noMultiLvlLbl val="0"/>
      </c:catAx>
      <c:valAx>
        <c:axId val="111563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6349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8</xdr:row>
      <xdr:rowOff>85725</xdr:rowOff>
    </xdr:from>
    <xdr:to>
      <xdr:col>7</xdr:col>
      <xdr:colOff>809625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5F607F-F24C-6CE5-6499-8135C3685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985837</xdr:colOff>
      <xdr:row>8</xdr:row>
      <xdr:rowOff>38100</xdr:rowOff>
    </xdr:from>
    <xdr:to>
      <xdr:col>13</xdr:col>
      <xdr:colOff>500062</xdr:colOff>
      <xdr:row>22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BDE40C-DCC2-1D49-12B4-D5FD1E5C76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eniji Michael" refreshedDate="46024.84484513889" createdVersion="8" refreshedVersion="8" minRefreshableVersion="3" recordCount="10" xr:uid="{B6CC467A-9093-4AC4-8D3E-BAD9D02F0C90}">
  <cacheSource type="worksheet">
    <worksheetSource ref="A1:G11" sheet="SUBSCRIPTION"/>
  </cacheSource>
  <cacheFields count="7">
    <cacheField name="Subscription_ID" numFmtId="0">
      <sharedItems/>
    </cacheField>
    <cacheField name="User_ID" numFmtId="0">
      <sharedItems containsSemiMixedTypes="0" containsString="0" containsNumber="1" containsInteger="1" minValue="1001" maxValue="1010"/>
    </cacheField>
    <cacheField name="Plan_Type" numFmtId="0">
      <sharedItems/>
    </cacheField>
    <cacheField name="Monthly_Cost" numFmtId="0">
      <sharedItems containsSemiMixedTypes="0" containsString="0" containsNumber="1" containsInteger="1" minValue="10" maxValue="30"/>
    </cacheField>
    <cacheField name="Status" numFmtId="0">
      <sharedItems count="2">
        <s v="Active"/>
        <s v="Cancelled"/>
      </sharedItems>
    </cacheField>
    <cacheField name="Cancellation_Date" numFmtId="0">
      <sharedItems containsNonDate="0" containsDate="1" containsString="0" containsBlank="1" minDate="2025-03-15T00:00:00" maxDate="2025-05-11T00:00:00"/>
    </cacheField>
    <cacheField name="Marketing Channel" numFmtId="0">
      <sharedItems count="3">
        <s v="Instagram"/>
        <s v="Google"/>
        <s v="Referr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SUB_501"/>
    <n v="1001"/>
    <s v="Pro"/>
    <n v="20"/>
    <x v="0"/>
    <m/>
    <x v="0"/>
  </r>
  <r>
    <s v="SUB_502"/>
    <n v="1002"/>
    <s v="Basic"/>
    <n v="10"/>
    <x v="1"/>
    <d v="2025-03-15T00:00:00"/>
    <x v="1"/>
  </r>
  <r>
    <s v="SUB_503"/>
    <n v="1003"/>
    <s v="Elite"/>
    <n v="30"/>
    <x v="0"/>
    <m/>
    <x v="2"/>
  </r>
  <r>
    <s v="SUB_504"/>
    <n v="1004"/>
    <s v="Basic"/>
    <n v="10"/>
    <x v="0"/>
    <m/>
    <x v="0"/>
  </r>
  <r>
    <s v="SUB_505"/>
    <n v="1005"/>
    <s v="Pro"/>
    <n v="20"/>
    <x v="1"/>
    <d v="2025-04-01T00:00:00"/>
    <x v="1"/>
  </r>
  <r>
    <s v="SUB_506"/>
    <n v="1006"/>
    <s v="Elite"/>
    <n v="30"/>
    <x v="0"/>
    <m/>
    <x v="2"/>
  </r>
  <r>
    <s v="SUB_507"/>
    <n v="1007"/>
    <s v="Basic"/>
    <n v="10"/>
    <x v="0"/>
    <m/>
    <x v="1"/>
  </r>
  <r>
    <s v="SUB_508"/>
    <n v="1008"/>
    <s v="Pro"/>
    <n v="20"/>
    <x v="0"/>
    <m/>
    <x v="0"/>
  </r>
  <r>
    <s v="SUB_509"/>
    <n v="1009"/>
    <s v="Basic"/>
    <n v="10"/>
    <x v="1"/>
    <d v="2025-05-10T00:00:00"/>
    <x v="2"/>
  </r>
  <r>
    <s v="SUB_510"/>
    <n v="1010"/>
    <s v="Elite"/>
    <n v="30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07463-7812-436D-9A17-52773118B025}" name="PivotTable6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:N7" firstHeaderRow="1" firstDataRow="3" firstDataCol="1"/>
  <pivotFields count="7">
    <pivotField showAll="0"/>
    <pivotField dataField="1" showAll="0"/>
    <pivotField showAll="0"/>
    <pivotField dataField="1" showAll="0"/>
    <pivotField axis="axisCol" showAll="0">
      <items count="3">
        <item x="0"/>
        <item x="1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Count of User_ID" fld="1" subtotal="count" baseField="6" baseItem="0"/>
    <dataField name="Sum of Monthly_Cost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DE8CE-6AC6-451B-B09A-18F8EA4E5B99}">
  <sheetPr codeName="Sheet2"/>
  <dimension ref="A1:D11"/>
  <sheetViews>
    <sheetView workbookViewId="0">
      <selection activeCell="E23" sqref="E23"/>
    </sheetView>
  </sheetViews>
  <sheetFormatPr defaultRowHeight="15" x14ac:dyDescent="0.25"/>
  <cols>
    <col min="1" max="1" width="7.85546875" bestFit="1" customWidth="1"/>
    <col min="2" max="2" width="12.140625" bestFit="1" customWidth="1"/>
    <col min="3" max="3" width="9" bestFit="1" customWidth="1"/>
    <col min="4" max="4" width="18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1001</v>
      </c>
      <c r="B2" s="2">
        <v>45667</v>
      </c>
      <c r="C2" t="s">
        <v>4</v>
      </c>
      <c r="D2" t="s">
        <v>5</v>
      </c>
    </row>
    <row r="3" spans="1:4" x14ac:dyDescent="0.25">
      <c r="A3">
        <v>1002</v>
      </c>
      <c r="B3" s="2">
        <v>45669</v>
      </c>
      <c r="C3" t="s">
        <v>6</v>
      </c>
      <c r="D3" t="s">
        <v>7</v>
      </c>
    </row>
    <row r="4" spans="1:4" x14ac:dyDescent="0.25">
      <c r="A4">
        <v>1003</v>
      </c>
      <c r="B4" s="2">
        <v>45672</v>
      </c>
      <c r="C4" t="s">
        <v>8</v>
      </c>
      <c r="D4" t="s">
        <v>9</v>
      </c>
    </row>
    <row r="5" spans="1:4" x14ac:dyDescent="0.25">
      <c r="A5">
        <v>1004</v>
      </c>
      <c r="B5" s="2">
        <v>45689</v>
      </c>
      <c r="C5" t="s">
        <v>4</v>
      </c>
      <c r="D5" t="s">
        <v>5</v>
      </c>
    </row>
    <row r="6" spans="1:4" x14ac:dyDescent="0.25">
      <c r="A6">
        <v>1005</v>
      </c>
      <c r="B6" s="2">
        <v>45693</v>
      </c>
      <c r="C6" t="s">
        <v>10</v>
      </c>
      <c r="D6" t="s">
        <v>7</v>
      </c>
    </row>
    <row r="7" spans="1:4" x14ac:dyDescent="0.25">
      <c r="A7">
        <v>1006</v>
      </c>
      <c r="B7" s="2">
        <v>45698</v>
      </c>
      <c r="C7" t="s">
        <v>6</v>
      </c>
      <c r="D7" t="s">
        <v>9</v>
      </c>
    </row>
    <row r="8" spans="1:4" x14ac:dyDescent="0.25">
      <c r="A8">
        <v>1007</v>
      </c>
      <c r="B8" s="2">
        <v>45717</v>
      </c>
      <c r="C8" t="s">
        <v>4</v>
      </c>
      <c r="D8" t="s">
        <v>7</v>
      </c>
    </row>
    <row r="9" spans="1:4" x14ac:dyDescent="0.25">
      <c r="A9">
        <v>1008</v>
      </c>
      <c r="B9" s="2">
        <v>45721</v>
      </c>
      <c r="C9" t="s">
        <v>8</v>
      </c>
      <c r="D9" t="s">
        <v>5</v>
      </c>
    </row>
    <row r="10" spans="1:4" x14ac:dyDescent="0.25">
      <c r="A10">
        <v>1009</v>
      </c>
      <c r="B10" s="2">
        <v>45728</v>
      </c>
      <c r="C10" t="s">
        <v>10</v>
      </c>
      <c r="D10" t="s">
        <v>9</v>
      </c>
    </row>
    <row r="11" spans="1:4" x14ac:dyDescent="0.25">
      <c r="A11">
        <v>1010</v>
      </c>
      <c r="B11" s="2">
        <v>45736</v>
      </c>
      <c r="C11" t="s">
        <v>4</v>
      </c>
      <c r="D1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18EB-48DB-4931-886C-7D18B3421C9E}">
  <sheetPr codeName="Sheet3"/>
  <dimension ref="A1:N11"/>
  <sheetViews>
    <sheetView tabSelected="1" workbookViewId="0">
      <selection activeCell="D26" sqref="D26"/>
    </sheetView>
  </sheetViews>
  <sheetFormatPr defaultRowHeight="15" x14ac:dyDescent="0.25"/>
  <cols>
    <col min="1" max="1" width="15" bestFit="1" customWidth="1"/>
    <col min="2" max="2" width="7.85546875" bestFit="1" customWidth="1"/>
    <col min="3" max="3" width="10.140625" bestFit="1" customWidth="1"/>
    <col min="4" max="4" width="13.42578125" bestFit="1" customWidth="1"/>
    <col min="5" max="5" width="9.7109375" bestFit="1" customWidth="1"/>
    <col min="6" max="6" width="17.42578125" bestFit="1" customWidth="1"/>
    <col min="7" max="7" width="18" bestFit="1" customWidth="1"/>
    <col min="8" max="8" width="13.140625" bestFit="1" customWidth="1"/>
    <col min="9" max="9" width="16.28515625" bestFit="1" customWidth="1"/>
    <col min="10" max="10" width="20.28515625" bestFit="1" customWidth="1"/>
    <col min="11" max="11" width="16.140625" bestFit="1" customWidth="1"/>
    <col min="12" max="12" width="20.28515625" bestFit="1" customWidth="1"/>
    <col min="13" max="13" width="21.140625" bestFit="1" customWidth="1"/>
    <col min="14" max="14" width="25.28515625" bestFit="1" customWidth="1"/>
  </cols>
  <sheetData>
    <row r="1" spans="1:14" x14ac:dyDescent="0.25">
      <c r="A1" t="s">
        <v>11</v>
      </c>
      <c r="B1" t="s">
        <v>0</v>
      </c>
      <c r="C1" t="s">
        <v>12</v>
      </c>
      <c r="D1" t="s">
        <v>13</v>
      </c>
      <c r="E1" t="s">
        <v>14</v>
      </c>
      <c r="F1" t="s">
        <v>15</v>
      </c>
      <c r="G1" t="s">
        <v>48</v>
      </c>
      <c r="I1" s="5" t="s">
        <v>54</v>
      </c>
    </row>
    <row r="2" spans="1:14" x14ac:dyDescent="0.25">
      <c r="A2" t="s">
        <v>16</v>
      </c>
      <c r="B2">
        <v>1001</v>
      </c>
      <c r="C2" t="s">
        <v>17</v>
      </c>
      <c r="D2">
        <v>20</v>
      </c>
      <c r="E2" t="s">
        <v>18</v>
      </c>
      <c r="G2" t="str">
        <f>VLOOKUP(B2,USERS!A:D,4,FALSE)</f>
        <v>Instagram</v>
      </c>
      <c r="I2" t="s">
        <v>18</v>
      </c>
      <c r="K2" t="s">
        <v>21</v>
      </c>
      <c r="M2" t="s">
        <v>56</v>
      </c>
      <c r="N2" t="s">
        <v>57</v>
      </c>
    </row>
    <row r="3" spans="1:14" x14ac:dyDescent="0.25">
      <c r="A3" t="s">
        <v>19</v>
      </c>
      <c r="B3">
        <v>1002</v>
      </c>
      <c r="C3" t="s">
        <v>20</v>
      </c>
      <c r="D3">
        <v>10</v>
      </c>
      <c r="E3" t="s">
        <v>21</v>
      </c>
      <c r="F3" s="2">
        <v>45731</v>
      </c>
      <c r="G3" t="str">
        <f>VLOOKUP(B3,USERS!A:D,4,FALSE)</f>
        <v>Google</v>
      </c>
      <c r="H3" s="5" t="s">
        <v>52</v>
      </c>
      <c r="I3" t="s">
        <v>55</v>
      </c>
      <c r="J3" t="s">
        <v>58</v>
      </c>
      <c r="K3" t="s">
        <v>55</v>
      </c>
      <c r="L3" t="s">
        <v>58</v>
      </c>
    </row>
    <row r="4" spans="1:14" x14ac:dyDescent="0.25">
      <c r="A4" t="s">
        <v>22</v>
      </c>
      <c r="B4">
        <v>1003</v>
      </c>
      <c r="C4" t="s">
        <v>23</v>
      </c>
      <c r="D4">
        <v>30</v>
      </c>
      <c r="E4" t="s">
        <v>18</v>
      </c>
      <c r="G4" t="str">
        <f>VLOOKUP(B4,USERS!A:D,4,FALSE)</f>
        <v>Referral</v>
      </c>
      <c r="H4" s="3" t="s">
        <v>7</v>
      </c>
      <c r="I4" s="1">
        <v>1</v>
      </c>
      <c r="J4" s="1">
        <v>10</v>
      </c>
      <c r="K4" s="1">
        <v>2</v>
      </c>
      <c r="L4" s="1">
        <v>30</v>
      </c>
      <c r="M4" s="1">
        <v>3</v>
      </c>
      <c r="N4" s="1">
        <v>40</v>
      </c>
    </row>
    <row r="5" spans="1:14" x14ac:dyDescent="0.25">
      <c r="A5" t="s">
        <v>24</v>
      </c>
      <c r="B5">
        <v>1004</v>
      </c>
      <c r="C5" t="s">
        <v>20</v>
      </c>
      <c r="D5">
        <v>10</v>
      </c>
      <c r="E5" t="s">
        <v>18</v>
      </c>
      <c r="G5" t="str">
        <f>VLOOKUP(B5,USERS!A:D,4,FALSE)</f>
        <v>Instagram</v>
      </c>
      <c r="H5" s="3" t="s">
        <v>5</v>
      </c>
      <c r="I5" s="1">
        <v>4</v>
      </c>
      <c r="J5" s="1">
        <v>80</v>
      </c>
      <c r="K5" s="1"/>
      <c r="L5" s="1"/>
      <c r="M5" s="1">
        <v>4</v>
      </c>
      <c r="N5" s="1">
        <v>80</v>
      </c>
    </row>
    <row r="6" spans="1:14" x14ac:dyDescent="0.25">
      <c r="A6" t="s">
        <v>25</v>
      </c>
      <c r="B6">
        <v>1005</v>
      </c>
      <c r="C6" t="s">
        <v>17</v>
      </c>
      <c r="D6">
        <v>20</v>
      </c>
      <c r="E6" t="s">
        <v>21</v>
      </c>
      <c r="F6" s="2">
        <v>45748</v>
      </c>
      <c r="G6" t="str">
        <f>VLOOKUP(B6,USERS!A:D,4,FALSE)</f>
        <v>Google</v>
      </c>
      <c r="H6" s="3" t="s">
        <v>9</v>
      </c>
      <c r="I6" s="1">
        <v>2</v>
      </c>
      <c r="J6" s="1">
        <v>60</v>
      </c>
      <c r="K6" s="1">
        <v>1</v>
      </c>
      <c r="L6" s="1">
        <v>10</v>
      </c>
      <c r="M6" s="1">
        <v>3</v>
      </c>
      <c r="N6" s="1">
        <v>70</v>
      </c>
    </row>
    <row r="7" spans="1:14" x14ac:dyDescent="0.25">
      <c r="A7" t="s">
        <v>26</v>
      </c>
      <c r="B7">
        <v>1006</v>
      </c>
      <c r="C7" t="s">
        <v>23</v>
      </c>
      <c r="D7">
        <v>30</v>
      </c>
      <c r="E7" t="s">
        <v>18</v>
      </c>
      <c r="G7" t="str">
        <f>VLOOKUP(B7,USERS!A:D,4,FALSE)</f>
        <v>Referral</v>
      </c>
      <c r="H7" s="3" t="s">
        <v>53</v>
      </c>
      <c r="I7" s="1">
        <v>7</v>
      </c>
      <c r="J7" s="1">
        <v>150</v>
      </c>
      <c r="K7" s="1">
        <v>3</v>
      </c>
      <c r="L7" s="1">
        <v>40</v>
      </c>
      <c r="M7" s="1">
        <v>10</v>
      </c>
      <c r="N7" s="1">
        <v>190</v>
      </c>
    </row>
    <row r="8" spans="1:14" x14ac:dyDescent="0.25">
      <c r="A8" t="s">
        <v>27</v>
      </c>
      <c r="B8">
        <v>1007</v>
      </c>
      <c r="C8" t="s">
        <v>20</v>
      </c>
      <c r="D8">
        <v>10</v>
      </c>
      <c r="E8" t="s">
        <v>18</v>
      </c>
      <c r="G8" t="str">
        <f>VLOOKUP(B8,USERS!A:D,4,FALSE)</f>
        <v>Google</v>
      </c>
    </row>
    <row r="9" spans="1:14" x14ac:dyDescent="0.25">
      <c r="A9" t="s">
        <v>28</v>
      </c>
      <c r="B9">
        <v>1008</v>
      </c>
      <c r="C9" t="s">
        <v>17</v>
      </c>
      <c r="D9">
        <v>20</v>
      </c>
      <c r="E9" t="s">
        <v>18</v>
      </c>
      <c r="G9" t="str">
        <f>VLOOKUP(B9,USERS!A:D,4,FALSE)</f>
        <v>Instagram</v>
      </c>
    </row>
    <row r="10" spans="1:14" x14ac:dyDescent="0.25">
      <c r="A10" t="s">
        <v>29</v>
      </c>
      <c r="B10">
        <v>1009</v>
      </c>
      <c r="C10" t="s">
        <v>20</v>
      </c>
      <c r="D10">
        <v>10</v>
      </c>
      <c r="E10" t="s">
        <v>21</v>
      </c>
      <c r="F10" s="2">
        <v>45787</v>
      </c>
      <c r="G10" t="str">
        <f>VLOOKUP(B10,USERS!A:D,4,FALSE)</f>
        <v>Referral</v>
      </c>
    </row>
    <row r="11" spans="1:14" x14ac:dyDescent="0.25">
      <c r="A11" t="s">
        <v>30</v>
      </c>
      <c r="B11">
        <v>1010</v>
      </c>
      <c r="C11" t="s">
        <v>23</v>
      </c>
      <c r="D11">
        <v>30</v>
      </c>
      <c r="E11" t="s">
        <v>18</v>
      </c>
      <c r="G11" t="str">
        <f>VLOOKUP(B11,USERS!A:D,4,FALSE)</f>
        <v>Instagram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40FB5-71BF-48EB-B0F3-9F99DF4B1B5C}">
  <sheetPr codeName="Sheet4"/>
  <dimension ref="A1:G11"/>
  <sheetViews>
    <sheetView workbookViewId="0">
      <selection activeCell="J9" sqref="J9"/>
    </sheetView>
  </sheetViews>
  <sheetFormatPr defaultRowHeight="15" x14ac:dyDescent="0.25"/>
  <cols>
    <col min="2" max="2" width="7.85546875" bestFit="1" customWidth="1"/>
    <col min="3" max="3" width="20.7109375" bestFit="1" customWidth="1"/>
    <col min="4" max="4" width="15.7109375" bestFit="1" customWidth="1"/>
    <col min="5" max="5" width="8.85546875" bestFit="1" customWidth="1"/>
    <col min="6" max="6" width="19.28515625" bestFit="1" customWidth="1"/>
    <col min="7" max="7" width="9.7109375" bestFit="1" customWidth="1"/>
  </cols>
  <sheetData>
    <row r="1" spans="1:7" x14ac:dyDescent="0.25">
      <c r="A1" t="s">
        <v>31</v>
      </c>
      <c r="B1" t="s">
        <v>0</v>
      </c>
      <c r="C1" t="s">
        <v>32</v>
      </c>
      <c r="D1" t="s">
        <v>33</v>
      </c>
      <c r="E1" t="s">
        <v>34</v>
      </c>
      <c r="F1" t="s">
        <v>51</v>
      </c>
    </row>
    <row r="2" spans="1:7" x14ac:dyDescent="0.25">
      <c r="A2" t="s">
        <v>35</v>
      </c>
      <c r="B2">
        <v>1001</v>
      </c>
      <c r="C2">
        <v>12</v>
      </c>
      <c r="D2">
        <v>360</v>
      </c>
      <c r="E2" t="s">
        <v>36</v>
      </c>
      <c r="F2">
        <f>AVERAGE(C2:C11)</f>
        <v>8.6</v>
      </c>
      <c r="G2" t="str">
        <f>VLOOKUP(B2, SUBSCRIPTION!B:E, 4, FALSE)</f>
        <v>Active</v>
      </c>
    </row>
    <row r="3" spans="1:7" x14ac:dyDescent="0.25">
      <c r="A3" t="s">
        <v>37</v>
      </c>
      <c r="B3">
        <v>1002</v>
      </c>
      <c r="C3">
        <v>2</v>
      </c>
      <c r="D3">
        <v>45</v>
      </c>
      <c r="E3" t="s">
        <v>36</v>
      </c>
      <c r="G3" t="str">
        <f>VLOOKUP(B3, SUBSCRIPTION!B:E, 4, FALSE)</f>
        <v>Cancelled</v>
      </c>
    </row>
    <row r="4" spans="1:7" x14ac:dyDescent="0.25">
      <c r="A4" t="s">
        <v>38</v>
      </c>
      <c r="B4">
        <v>1003</v>
      </c>
      <c r="C4">
        <v>15</v>
      </c>
      <c r="D4">
        <v>450</v>
      </c>
      <c r="E4" t="s">
        <v>36</v>
      </c>
      <c r="G4" t="str">
        <f>VLOOKUP(B4, SUBSCRIPTION!B:E, 4, FALSE)</f>
        <v>Active</v>
      </c>
    </row>
    <row r="5" spans="1:7" x14ac:dyDescent="0.25">
      <c r="A5" t="s">
        <v>39</v>
      </c>
      <c r="B5">
        <v>1004</v>
      </c>
      <c r="C5">
        <v>8</v>
      </c>
      <c r="D5">
        <v>200</v>
      </c>
      <c r="E5" t="s">
        <v>40</v>
      </c>
      <c r="G5" t="str">
        <f>VLOOKUP(B5, SUBSCRIPTION!B:E, 4, FALSE)</f>
        <v>Active</v>
      </c>
    </row>
    <row r="6" spans="1:7" x14ac:dyDescent="0.25">
      <c r="A6" t="s">
        <v>41</v>
      </c>
      <c r="B6">
        <v>1005</v>
      </c>
      <c r="C6">
        <v>1</v>
      </c>
      <c r="D6">
        <v>20</v>
      </c>
      <c r="E6" t="s">
        <v>40</v>
      </c>
      <c r="G6" t="str">
        <f>VLOOKUP(B6, SUBSCRIPTION!B:E, 4, FALSE)</f>
        <v>Cancelled</v>
      </c>
    </row>
    <row r="7" spans="1:7" x14ac:dyDescent="0.25">
      <c r="A7" t="s">
        <v>42</v>
      </c>
      <c r="B7">
        <v>1006</v>
      </c>
      <c r="C7">
        <v>20</v>
      </c>
      <c r="D7">
        <v>600</v>
      </c>
      <c r="E7" t="s">
        <v>40</v>
      </c>
      <c r="G7" t="str">
        <f>VLOOKUP(B7, SUBSCRIPTION!B:E, 4, FALSE)</f>
        <v>Active</v>
      </c>
    </row>
    <row r="8" spans="1:7" x14ac:dyDescent="0.25">
      <c r="A8" t="s">
        <v>43</v>
      </c>
      <c r="B8">
        <v>1007</v>
      </c>
      <c r="C8">
        <v>5</v>
      </c>
      <c r="D8">
        <v>120</v>
      </c>
      <c r="E8" t="s">
        <v>44</v>
      </c>
      <c r="G8" t="str">
        <f>VLOOKUP(B8, SUBSCRIPTION!B:E, 4, FALSE)</f>
        <v>Active</v>
      </c>
    </row>
    <row r="9" spans="1:7" x14ac:dyDescent="0.25">
      <c r="A9" t="s">
        <v>45</v>
      </c>
      <c r="B9">
        <v>1008</v>
      </c>
      <c r="C9">
        <v>9</v>
      </c>
      <c r="D9">
        <v>240</v>
      </c>
      <c r="E9" t="s">
        <v>44</v>
      </c>
      <c r="G9" t="str">
        <f>VLOOKUP(B9, SUBSCRIPTION!B:E, 4, FALSE)</f>
        <v>Active</v>
      </c>
    </row>
    <row r="10" spans="1:7" x14ac:dyDescent="0.25">
      <c r="A10" t="s">
        <v>46</v>
      </c>
      <c r="B10">
        <v>1009</v>
      </c>
      <c r="C10">
        <v>0</v>
      </c>
      <c r="D10">
        <v>0</v>
      </c>
      <c r="E10" t="s">
        <v>44</v>
      </c>
      <c r="G10" t="str">
        <f>VLOOKUP(B10, SUBSCRIPTION!B:E, 4, FALSE)</f>
        <v>Cancelled</v>
      </c>
    </row>
    <row r="11" spans="1:7" x14ac:dyDescent="0.25">
      <c r="A11" t="s">
        <v>47</v>
      </c>
      <c r="B11">
        <v>1010</v>
      </c>
      <c r="C11">
        <v>14</v>
      </c>
      <c r="D11">
        <v>400</v>
      </c>
      <c r="E11" t="s">
        <v>44</v>
      </c>
      <c r="G11" t="str">
        <f>VLOOKUP(B11, SUBSCRIPTION!B:E, 4, FALSE)</f>
        <v>Active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E1F8-F2B7-465E-84B0-F488ADF5D435}">
  <sheetPr codeName="Sheet5"/>
  <dimension ref="A1:I4"/>
  <sheetViews>
    <sheetView topLeftCell="D1" workbookViewId="0">
      <selection activeCell="L26" sqref="L26"/>
    </sheetView>
  </sheetViews>
  <sheetFormatPr defaultRowHeight="15" x14ac:dyDescent="0.25"/>
  <cols>
    <col min="1" max="1" width="35.28515625" bestFit="1" customWidth="1"/>
    <col min="2" max="2" width="12.140625" bestFit="1" customWidth="1"/>
    <col min="3" max="3" width="19.28515625" bestFit="1" customWidth="1"/>
    <col min="4" max="4" width="9.7109375" bestFit="1" customWidth="1"/>
    <col min="5" max="5" width="35" style="6" bestFit="1" customWidth="1"/>
    <col min="6" max="6" width="17.7109375" bestFit="1" customWidth="1"/>
    <col min="7" max="7" width="18.5703125" bestFit="1" customWidth="1"/>
    <col min="8" max="8" width="20.7109375" style="6" bestFit="1" customWidth="1"/>
    <col min="9" max="9" width="18" bestFit="1" customWidth="1"/>
    <col min="10" max="10" width="9.7109375" bestFit="1" customWidth="1"/>
  </cols>
  <sheetData>
    <row r="1" spans="1:9" x14ac:dyDescent="0.25">
      <c r="A1" s="7" t="s">
        <v>49</v>
      </c>
      <c r="B1" s="7" t="s">
        <v>50</v>
      </c>
      <c r="C1" t="s">
        <v>51</v>
      </c>
      <c r="D1" t="s">
        <v>59</v>
      </c>
      <c r="E1" s="6" t="s">
        <v>60</v>
      </c>
      <c r="F1" t="s">
        <v>64</v>
      </c>
      <c r="G1" t="s">
        <v>65</v>
      </c>
      <c r="H1" s="6" t="s">
        <v>51</v>
      </c>
      <c r="I1" t="s">
        <v>61</v>
      </c>
    </row>
    <row r="2" spans="1:9" x14ac:dyDescent="0.25">
      <c r="A2">
        <v>190</v>
      </c>
      <c r="B2" s="4">
        <f>COUNTIF(SUBSCRIPTION!E:E,"Cancelled")/COUNTA(SUBSCRIPTION!B:B)</f>
        <v>0.27272727272727271</v>
      </c>
      <c r="C2">
        <v>8.6</v>
      </c>
      <c r="D2" t="s">
        <v>5</v>
      </c>
      <c r="E2" s="6">
        <f>SUMIF(SUBSCRIPTION!G:G, D2, SUBSCRIPTION!D:D) / COUNTIF(SUBSCRIPTION!G:G, D2)</f>
        <v>20</v>
      </c>
      <c r="F2" t="str">
        <f>IF(E2&lt;15, "Low Value", "High Value")</f>
        <v>High Value</v>
      </c>
      <c r="G2" t="s">
        <v>62</v>
      </c>
      <c r="H2">
        <f>AVERAGEIF(USAGE!G:G, "Active", USAGE!C:C)</f>
        <v>11.857142857142858</v>
      </c>
      <c r="I2">
        <f>AVERAGEIF(USAGE!G:G, "Active", USAGE!D:D)</f>
        <v>338.57142857142856</v>
      </c>
    </row>
    <row r="3" spans="1:9" x14ac:dyDescent="0.25">
      <c r="D3" t="s">
        <v>7</v>
      </c>
      <c r="E3" s="6">
        <f>SUMIF(SUBSCRIPTION!G:G, D3, SUBSCRIPTION!D:D) / COUNTIF(SUBSCRIPTION!G:G, D3)</f>
        <v>13.333333333333334</v>
      </c>
      <c r="F3" t="str">
        <f>IF(E3&lt;15, "Low Value", "High Value")</f>
        <v>Low Value</v>
      </c>
      <c r="G3" t="s">
        <v>63</v>
      </c>
      <c r="H3">
        <f>AVERAGEIF(USAGE!G:G, "Cancelled", USAGE!C:C)</f>
        <v>1</v>
      </c>
      <c r="I3">
        <f>AVERAGEIF(USAGE!G:G, "Cancelled", USAGE!D:D)</f>
        <v>21.666666666666668</v>
      </c>
    </row>
    <row r="4" spans="1:9" x14ac:dyDescent="0.25">
      <c r="D4" t="s">
        <v>9</v>
      </c>
      <c r="E4" s="6">
        <f>SUMIF(SUBSCRIPTION!G:G, D4, SUBSCRIPTION!D:D) / COUNTIF(SUBSCRIPTION!G:G, D4)</f>
        <v>23.333333333333332</v>
      </c>
      <c r="F4" t="str">
        <f>IF(E4&lt;15, "Low Value", "High Value")</f>
        <v>High Value</v>
      </c>
    </row>
  </sheetData>
  <conditionalFormatting sqref="F2">
    <cfRule type="containsText" dxfId="0" priority="5" operator="containsText" text="LOW$F$3">
      <formula>NOT(ISERROR(SEARCH("LOW$F$3",F2)))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62B1E71-AB63-46ED-ADCF-596B537E78DA}">
            <xm:f>NOT(ISERROR(SEARCH($F$2,F2)))</xm:f>
            <xm:f>$F$2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ontainsText" priority="4" operator="containsText" id="{0B2960F8-13DD-4D6D-B192-357CC368974B}">
            <xm:f>NOT(ISERROR(SEARCH($F$3,F3)))</xm:f>
            <xm:f>$F$3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id="{64D2A346-49F0-404D-BD3D-CCA960F99DC6}">
            <xm:f>NOT(ISERROR(SEARCH($F$4,F3)))</xm:f>
            <xm:f>$F$4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containsText" priority="2" operator="containsText" id="{BF0220CE-D484-46EB-8D9B-ADDC8A519D89}">
            <xm:f>NOT(ISERROR(SEARCH($F$2,F4)))</xm:f>
            <xm:f>$F$2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966179-8ED4-45F6-A1A1-9C93A31383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USERS</vt:lpstr>
      <vt:lpstr>SUBSCRIPTION</vt:lpstr>
      <vt:lpstr>USAGE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Adeniji Michael</dc:creator>
  <cp:lastModifiedBy>Adeniji Michael</cp:lastModifiedBy>
  <dcterms:created xsi:type="dcterms:W3CDTF">2026-01-02T18:09:46Z</dcterms:created>
  <dcterms:modified xsi:type="dcterms:W3CDTF">2026-01-02T22:02:23Z</dcterms:modified>
</cp:coreProperties>
</file>